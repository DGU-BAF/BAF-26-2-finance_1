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항로별_초크포인트" sheetId="2" state="visible" r:id="rId2"/>
    <sheet name="사건_반응_타임라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+0.0%;-0.0%"/>
  </numFmts>
  <fonts count="7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FFFFFFFF"/>
      <sz val="10"/>
    </font>
    <font>
      <name val="맑은 고딕"/>
      <b val="1"/>
      <sz val="10"/>
    </font>
    <font>
      <name val="맑은 고딕"/>
      <b val="1"/>
      <sz val="14"/>
    </font>
    <font>
      <name val="맑은 고딕"/>
      <color rgb="FF595959"/>
      <sz val="9"/>
    </font>
    <font>
      <name val="맑은 고딕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5" fontId="6" fillId="0" borderId="0" pivotButton="0" quotePrefix="0" xfId="0"/>
    <xf numFmtId="3" fontId="3" fillId="0" borderId="0" pivotButton="0" quotePrefix="0" xfId="0"/>
    <xf numFmtId="0" fontId="2" fillId="2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166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.2" customWidth="1" min="1" max="1"/>
    <col width="40.4" customWidth="1" min="2" max="2"/>
    <col width="46.4" customWidth="1" min="3" max="3"/>
  </cols>
  <sheetData>
    <row r="1">
      <c r="A1" s="1" t="inlineStr">
        <is>
          <t>홍해·호르무즈 해협 사태 — 운임 반응 정리</t>
        </is>
      </c>
    </row>
    <row r="2">
      <c r="A2" s="2" t="inlineStr">
        <is>
          <t>작성: 2026-09-28  |  자료: KCCI(한국해양진흥공사) 주간 컨테이너 운임지수, IMF PortWatch</t>
        </is>
      </c>
    </row>
    <row r="4">
      <c r="A4" s="3" t="inlineStr">
        <is>
          <t>핵심 결론</t>
        </is>
      </c>
    </row>
    <row r="5">
      <c r="A5" s="4" t="inlineStr">
        <is>
          <t>•  호르무즈(2026.3.1 봉쇄)는 사건 후 8일 만에 운임 급등 시작 — 실제 물리적 봉쇄라 선박이 즉시 우회</t>
        </is>
      </c>
    </row>
    <row r="6">
      <c r="A6" s="4" t="inlineStr">
        <is>
          <t>•  홍해(2023.11.19 나포)는 사건 후 29일 만에 급등 시작 — 해협은 열려있었으나 선사들이 위험 판단에 시간 소요</t>
        </is>
      </c>
    </row>
    <row r="7">
      <c r="A7" s="4" t="inlineStr">
        <is>
          <t>•  두 사건 모두 '해당 항로만' 급등하고 무관한 항로는 안정적 — 지정학 충격이 항로별로 특이하게 나타남</t>
        </is>
      </c>
    </row>
    <row r="8">
      <c r="A8" s="4" t="inlineStr">
        <is>
          <t>•  상세 근거는 시트 2(항로·초크포인트 설명), 시트 3(사건별 반응 타임라인) 참조</t>
        </is>
      </c>
    </row>
    <row r="10">
      <c r="A10" s="5" t="inlineStr">
        <is>
          <t>구분</t>
        </is>
      </c>
      <c r="B10" s="5" t="inlineStr">
        <is>
          <t>호르무즈 해협(2026)</t>
        </is>
      </c>
      <c r="C10" s="5" t="inlineStr">
        <is>
          <t>홍해·바브엘만데브(2023~24)</t>
        </is>
      </c>
    </row>
    <row r="11">
      <c r="A11" s="6" t="inlineStr">
        <is>
          <t>사건 발생일</t>
        </is>
      </c>
      <c r="B11" s="6" t="inlineStr">
        <is>
          <t>2026-03-01 (이란, 해협 봉쇄)</t>
        </is>
      </c>
      <c r="C11" s="6" t="inlineStr">
        <is>
          <t>2023-11-19 (후티, 갤럭시리더호 나포)</t>
        </is>
      </c>
    </row>
    <row r="12">
      <c r="A12" s="6" t="inlineStr">
        <is>
          <t>실제 상태</t>
        </is>
      </c>
      <c r="B12" s="6" t="inlineStr">
        <is>
          <t>물리적 봉쇄 (통항 불가)</t>
        </is>
      </c>
      <c r="C12" s="6" t="inlineStr">
        <is>
          <t>위협 (통항 가능하나 위험, 자발적 우회)</t>
        </is>
      </c>
    </row>
    <row r="13">
      <c r="A13" s="6" t="inlineStr">
        <is>
          <t>관련 항로(KCCI)</t>
        </is>
      </c>
      <c r="B13" s="6" t="inlineStr">
        <is>
          <t>KMEI (중동향)</t>
        </is>
      </c>
      <c r="C13" s="6" t="inlineStr">
        <is>
          <t>KNEI (유럽향)</t>
        </is>
      </c>
    </row>
    <row r="14">
      <c r="A14" s="6" t="inlineStr">
        <is>
          <t>PortWatch 통항량 변화</t>
        </is>
      </c>
      <c r="B14" s="6" t="inlineStr">
        <is>
          <t>-91~95% (사실상 전면 중단)</t>
        </is>
      </c>
      <c r="C14" s="6" t="inlineStr">
        <is>
          <t>-78% (감소하나 0은 아님, 중·러 선박 계속 통항)</t>
        </is>
      </c>
    </row>
    <row r="15">
      <c r="A15" s="6" t="inlineStr">
        <is>
          <t>운임 급등 시작</t>
        </is>
      </c>
      <c r="B15" s="6" t="inlineStr">
        <is>
          <t>사건 후 +8일 (전주비 +75.7%)</t>
        </is>
      </c>
      <c r="C15" s="6" t="inlineStr">
        <is>
          <t>사건 후 +29일 (전주비 +15.2%)</t>
        </is>
      </c>
    </row>
    <row r="16">
      <c r="A16" s="6" t="inlineStr">
        <is>
          <t>정점 도달</t>
        </is>
      </c>
      <c r="B16" s="6" t="inlineStr">
        <is>
          <t>약 5주 (+36일)</t>
        </is>
      </c>
      <c r="C16" s="6" t="inlineStr">
        <is>
          <t>약 9주 (+64일)</t>
        </is>
      </c>
    </row>
    <row r="17">
      <c r="A17" s="6" t="inlineStr">
        <is>
          <t>최대 주간 상승폭</t>
        </is>
      </c>
      <c r="B17" s="6" t="inlineStr">
        <is>
          <t>+75.7%</t>
        </is>
      </c>
      <c r="C17" s="6" t="inlineStr">
        <is>
          <t>+49.6%</t>
        </is>
      </c>
    </row>
    <row r="18">
      <c r="A18" s="6" t="inlineStr">
        <is>
          <t>반응 속도가 다른 이유</t>
        </is>
      </c>
      <c r="B18" s="6" t="inlineStr">
        <is>
          <t>배가 못 지나가 즉시 우회할 수밖에 없음</t>
        </is>
      </c>
      <c r="C18" s="6" t="inlineStr">
        <is>
          <t>선사가 위험을 판단하는 데 시간 소요(JWC 고위험지역 지정, 전쟁위험보험료 급등, IBF 선원 항해거부권 등)</t>
        </is>
      </c>
    </row>
  </sheetData>
  <mergeCells count="6">
    <mergeCell ref="A2:F2"/>
    <mergeCell ref="A1:F1"/>
    <mergeCell ref="A5:F5"/>
    <mergeCell ref="A8:F8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6.1" customWidth="1" min="3" max="3"/>
    <col width="24.2" customWidth="1" min="4" max="4"/>
    <col width="12.1" customWidth="1" min="5" max="5"/>
    <col width="30.3" customWidth="1" min="6" max="6"/>
    <col width="30.3" customWidth="1" min="7" max="7"/>
    <col width="30.3" customWidth="1" min="8" max="8"/>
  </cols>
  <sheetData>
    <row r="1">
      <c r="A1" s="1" t="inlineStr">
        <is>
          <t>KCCI 13개 항로 — 경유 초크포인트(해협·운하) 및 화물 설명</t>
        </is>
      </c>
    </row>
    <row r="2">
      <c r="A2" s="2" t="inlineStr">
        <is>
          <t>자료: 한국해양진흥공사(KOBC) KCCI 컬럼설명 + 무역협회 TradeBrief(2024.2) 품목별 해상비중</t>
        </is>
      </c>
    </row>
    <row r="4">
      <c r="A4" s="5" t="inlineStr">
        <is>
          <t>코드</t>
        </is>
      </c>
      <c r="B4" s="5" t="inlineStr">
        <is>
          <t>분류</t>
        </is>
      </c>
      <c r="C4" s="5" t="inlineStr">
        <is>
          <t>항로명(목적지)</t>
        </is>
      </c>
      <c r="D4" s="5" t="inlineStr">
        <is>
          <t>경유 초크포인트</t>
        </is>
      </c>
      <c r="E4" s="5" t="inlineStr">
        <is>
          <t>초크포인트 유형</t>
        </is>
      </c>
      <c r="F4" s="5" t="inlineStr">
        <is>
          <t>이번 사건 직접 노출</t>
        </is>
      </c>
      <c r="G4" s="5" t="inlineStr">
        <is>
          <t>주요 수출 화물</t>
        </is>
      </c>
      <c r="H4" s="5" t="inlineStr">
        <is>
          <t>주요 수입 화물</t>
        </is>
      </c>
    </row>
    <row r="5">
      <c r="A5" s="6" t="inlineStr">
        <is>
          <t>KUWI (미서안향)</t>
        </is>
      </c>
      <c r="B5" s="6" t="inlineStr">
        <is>
          <t>메인레인</t>
        </is>
      </c>
      <c r="C5" s="6" t="inlineStr">
        <is>
          <t>미서안(미국 서해안)</t>
        </is>
      </c>
      <c r="D5" s="6" t="inlineStr">
        <is>
          <t>없음(태평양 직항)</t>
        </is>
      </c>
      <c r="E5" s="6" t="inlineStr">
        <is>
          <t>-</t>
        </is>
      </c>
      <c r="F5" s="6" t="inlineStr">
        <is>
          <t>해당없음</t>
        </is>
      </c>
      <c r="G5" s="6" t="inlineStr">
        <is>
          <t>자동차·자동차부품·가전제품·반도체 장비</t>
        </is>
      </c>
      <c r="H5" s="6" t="inlineStr">
        <is>
          <t>농산물(밀·콩 등 일부)·항공기부품·의료기기</t>
        </is>
      </c>
    </row>
    <row r="6">
      <c r="A6" s="6" t="inlineStr">
        <is>
          <t>KUEI (미동안향)</t>
        </is>
      </c>
      <c r="B6" s="6" t="inlineStr">
        <is>
          <t>메인레인</t>
        </is>
      </c>
      <c r="C6" s="6" t="inlineStr">
        <is>
          <t>미동안(미국 동해안)</t>
        </is>
      </c>
      <c r="D6" s="6" t="inlineStr">
        <is>
          <t>파나마 운하(부분)</t>
        </is>
      </c>
      <c r="E6" s="6" t="inlineStr">
        <is>
          <t>운하</t>
        </is>
      </c>
      <c r="F6" s="6" t="inlineStr">
        <is>
          <t>간접(파나마 가뭄 등 별도 이슈)</t>
        </is>
      </c>
      <c r="G6" s="6" t="inlineStr">
        <is>
          <t>자동차·자동차부품·기계류</t>
        </is>
      </c>
      <c r="H6" s="6" t="inlineStr">
        <is>
          <t>농산물·화학원료</t>
        </is>
      </c>
    </row>
    <row r="7">
      <c r="A7" s="6" t="inlineStr">
        <is>
          <t>KNEI (유럽향)</t>
        </is>
      </c>
      <c r="B7" s="6" t="inlineStr">
        <is>
          <t>메인레인</t>
        </is>
      </c>
      <c r="C7" s="6" t="inlineStr">
        <is>
          <t>유럽</t>
        </is>
      </c>
      <c r="D7" s="6" t="inlineStr">
        <is>
          <t>수에즈 운하 · 바브엘만데브 해협</t>
        </is>
      </c>
      <c r="E7" s="6" t="inlineStr">
        <is>
          <t>운하+해협</t>
        </is>
      </c>
      <c r="F7" s="6" t="inlineStr">
        <is>
          <t>직접(홍해 사태)</t>
        </is>
      </c>
      <c r="G7" s="6" t="inlineStr">
        <is>
          <t>자동차·2차전지(배터리)·선박부품·화학제품</t>
        </is>
      </c>
      <c r="H7" s="6" t="inlineStr">
        <is>
          <t>의약품·명품 소비재·자동차부품·화학원료</t>
        </is>
      </c>
    </row>
    <row r="8">
      <c r="A8" s="6" t="inlineStr">
        <is>
          <t>KMDI (지중해향)</t>
        </is>
      </c>
      <c r="B8" s="6" t="inlineStr">
        <is>
          <t>메인레인</t>
        </is>
      </c>
      <c r="C8" s="6" t="inlineStr">
        <is>
          <t>지중해</t>
        </is>
      </c>
      <c r="D8" s="6" t="inlineStr">
        <is>
          <t>수에즈 운하</t>
        </is>
      </c>
      <c r="E8" s="6" t="inlineStr">
        <is>
          <t>운하</t>
        </is>
      </c>
      <c r="F8" s="6" t="inlineStr">
        <is>
          <t>직접(홍해 사태, KNEI와 유사 경로)</t>
        </is>
      </c>
      <c r="G8" s="6" t="inlineStr">
        <is>
          <t>자동차·기계류·전자제품</t>
        </is>
      </c>
      <c r="H8" s="6" t="inlineStr">
        <is>
          <t>의류·농산물(올리브유 등)</t>
        </is>
      </c>
    </row>
    <row r="9">
      <c r="A9" s="6" t="inlineStr">
        <is>
          <t>KMEI (중동향)</t>
        </is>
      </c>
      <c r="B9" s="6" t="inlineStr">
        <is>
          <t>논메인레인</t>
        </is>
      </c>
      <c r="C9" s="6" t="inlineStr">
        <is>
          <t>중동</t>
        </is>
      </c>
      <c r="D9" s="6" t="inlineStr">
        <is>
          <t>호르무즈 해협</t>
        </is>
      </c>
      <c r="E9" s="6" t="inlineStr">
        <is>
          <t>해협</t>
        </is>
      </c>
      <c r="F9" s="6" t="inlineStr">
        <is>
          <t>직접(호르무즈 봉쇄)</t>
        </is>
      </c>
      <c r="G9" s="6" t="inlineStr">
        <is>
          <t>자동차·건설기계·가전제품·전선케이블</t>
        </is>
      </c>
      <c r="H9" s="6" t="inlineStr">
        <is>
          <t>석유화학 중간재·대추야자 등</t>
        </is>
      </c>
    </row>
    <row r="10">
      <c r="A10" s="6" t="inlineStr">
        <is>
          <t>KAUI (호주향)</t>
        </is>
      </c>
      <c r="B10" s="6" t="inlineStr">
        <is>
          <t>논메인레인</t>
        </is>
      </c>
      <c r="C10" s="6" t="inlineStr">
        <is>
          <t>호주</t>
        </is>
      </c>
      <c r="D10" s="6" t="inlineStr">
        <is>
          <t>없음(대양 직항)</t>
        </is>
      </c>
      <c r="E10" s="6" t="inlineStr">
        <is>
          <t>-</t>
        </is>
      </c>
      <c r="F10" s="6" t="inlineStr">
        <is>
          <t>해당없음</t>
        </is>
      </c>
      <c r="G10" s="6" t="inlineStr">
        <is>
          <t>자동차·기계류·전자제품</t>
        </is>
      </c>
      <c r="H10" s="6" t="inlineStr">
        <is>
          <t>육류·와인·양모</t>
        </is>
      </c>
    </row>
    <row r="11">
      <c r="A11" s="6" t="inlineStr">
        <is>
          <t>KLEI (중남미동안향)</t>
        </is>
      </c>
      <c r="B11" s="6" t="inlineStr">
        <is>
          <t>논메인레인</t>
        </is>
      </c>
      <c r="C11" s="6" t="inlineStr">
        <is>
          <t>중남미 동안</t>
        </is>
      </c>
      <c r="D11" s="6" t="inlineStr">
        <is>
          <t>파나마 운하</t>
        </is>
      </c>
      <c r="E11" s="6" t="inlineStr">
        <is>
          <t>운하</t>
        </is>
      </c>
      <c r="F11" s="6" t="inlineStr">
        <is>
          <t>간접</t>
        </is>
      </c>
      <c r="G11" s="6" t="inlineStr">
        <is>
          <t>자동차·가전제품</t>
        </is>
      </c>
      <c r="H11" s="6" t="inlineStr">
        <is>
          <t>커피·과일·광물 일부</t>
        </is>
      </c>
    </row>
    <row r="12">
      <c r="A12" s="6" t="inlineStr">
        <is>
          <t>KLWI (중남미서안향)</t>
        </is>
      </c>
      <c r="B12" s="6" t="inlineStr">
        <is>
          <t>논메인레인</t>
        </is>
      </c>
      <c r="C12" s="6" t="inlineStr">
        <is>
          <t>중남미 서안</t>
        </is>
      </c>
      <c r="D12" s="6" t="inlineStr">
        <is>
          <t>없음(태평양 직항)</t>
        </is>
      </c>
      <c r="E12" s="6" t="inlineStr">
        <is>
          <t>-</t>
        </is>
      </c>
      <c r="F12" s="6" t="inlineStr">
        <is>
          <t>해당없음</t>
        </is>
      </c>
      <c r="G12" s="6" t="inlineStr">
        <is>
          <t>자동차·가전제품</t>
        </is>
      </c>
      <c r="H12" s="6" t="inlineStr">
        <is>
          <t>구리·과일</t>
        </is>
      </c>
    </row>
    <row r="13">
      <c r="A13" s="6" t="inlineStr">
        <is>
          <t>KSAI (남아공향)</t>
        </is>
      </c>
      <c r="B13" s="6" t="inlineStr">
        <is>
          <t>논메인레인</t>
        </is>
      </c>
      <c r="C13" s="6" t="inlineStr">
        <is>
          <t>남아공</t>
        </is>
      </c>
      <c r="D13" s="6" t="inlineStr">
        <is>
          <t>없음(홍해 우회선 몰리는 항로)</t>
        </is>
      </c>
      <c r="E13" s="6" t="inlineStr">
        <is>
          <t>-</t>
        </is>
      </c>
      <c r="F13" s="6" t="inlineStr">
        <is>
          <t>간접(희망봉 우회선 집중)</t>
        </is>
      </c>
      <c r="G13" s="6" t="inlineStr">
        <is>
          <t>자동차·기계류</t>
        </is>
      </c>
      <c r="H13" s="6" t="inlineStr">
        <is>
          <t>와인·과일·광물 일부</t>
        </is>
      </c>
    </row>
    <row r="14">
      <c r="A14" s="6" t="inlineStr">
        <is>
          <t>KWAI (서아프리카향)</t>
        </is>
      </c>
      <c r="B14" s="6" t="inlineStr">
        <is>
          <t>논메인레인</t>
        </is>
      </c>
      <c r="C14" s="6" t="inlineStr">
        <is>
          <t>서아프리카</t>
        </is>
      </c>
      <c r="D14" s="6" t="inlineStr">
        <is>
          <t>없음(희망봉 우회항로와 인접)</t>
        </is>
      </c>
      <c r="E14" s="6" t="inlineStr">
        <is>
          <t>-</t>
        </is>
      </c>
      <c r="F14" s="6" t="inlineStr">
        <is>
          <t>간접(희망봉 우회선 집중)</t>
        </is>
      </c>
      <c r="G14" s="6" t="inlineStr">
        <is>
          <t>자동차·소비재·기계류</t>
        </is>
      </c>
      <c r="H14" s="6" t="inlineStr">
        <is>
          <t>카카오</t>
        </is>
      </c>
    </row>
    <row r="15">
      <c r="A15" s="6" t="inlineStr">
        <is>
          <t>KCI (중국향)</t>
        </is>
      </c>
      <c r="B15" s="6" t="inlineStr">
        <is>
          <t>인트라아시아</t>
        </is>
      </c>
      <c r="C15" s="6" t="inlineStr">
        <is>
          <t>중국</t>
        </is>
      </c>
      <c r="D15" s="6" t="inlineStr">
        <is>
          <t>없음(대만해협 인근 잠재적)</t>
        </is>
      </c>
      <c r="E15" s="6" t="inlineStr">
        <is>
          <t>-</t>
        </is>
      </c>
      <c r="F15" s="6" t="inlineStr">
        <is>
          <t>해당없음</t>
        </is>
      </c>
      <c r="G15" s="6" t="inlineStr">
        <is>
          <t>반도체 소재·부품·장비·석유화학 중간재</t>
        </is>
      </c>
      <c r="H15" s="6" t="inlineStr">
        <is>
          <t>전자제품·의류·생활용품</t>
        </is>
      </c>
    </row>
    <row r="16">
      <c r="A16" s="6" t="inlineStr">
        <is>
          <t>KJI (일본향)</t>
        </is>
      </c>
      <c r="B16" s="6" t="inlineStr">
        <is>
          <t>인트라아시아</t>
        </is>
      </c>
      <c r="C16" s="6" t="inlineStr">
        <is>
          <t>일본</t>
        </is>
      </c>
      <c r="D16" s="6" t="inlineStr">
        <is>
          <t>없음</t>
        </is>
      </c>
      <c r="E16" s="6" t="inlineStr">
        <is>
          <t>-</t>
        </is>
      </c>
      <c r="F16" s="6" t="inlineStr">
        <is>
          <t>해당없음</t>
        </is>
      </c>
      <c r="G16" s="6" t="inlineStr">
        <is>
          <t>반도체 소재·부품·장비·자동차부품</t>
        </is>
      </c>
      <c r="H16" s="6" t="inlineStr">
        <is>
          <t>정밀기계·반도체 장비·소재</t>
        </is>
      </c>
    </row>
    <row r="17">
      <c r="A17" s="6" t="inlineStr">
        <is>
          <t>KSEI (동남아향)</t>
        </is>
      </c>
      <c r="B17" s="6" t="inlineStr">
        <is>
          <t>인트라아시아</t>
        </is>
      </c>
      <c r="C17" s="6" t="inlineStr">
        <is>
          <t>동남아</t>
        </is>
      </c>
      <c r="D17" s="6" t="inlineStr">
        <is>
          <t>말라카 해협</t>
        </is>
      </c>
      <c r="E17" s="6" t="inlineStr">
        <is>
          <t>해협</t>
        </is>
      </c>
      <c r="F17" s="6" t="inlineStr">
        <is>
          <t>잠재적(대만해협 유사시 영향권, 이번 두 사건과는 무관)</t>
        </is>
      </c>
      <c r="G17" s="6" t="inlineStr">
        <is>
          <t>반도체·전자부품·자동차부품</t>
        </is>
      </c>
      <c r="H17" s="6" t="inlineStr">
        <is>
          <t>의류·신발·가공식품·원자재 중간재</t>
        </is>
      </c>
    </row>
    <row r="18"/>
    <row r="20">
      <c r="A20" s="3" t="inlineStr">
        <is>
          <t>5대 해상 초크포인트(해협·운하) 상세</t>
        </is>
      </c>
    </row>
    <row r="21">
      <c r="A21" s="5" t="inlineStr">
        <is>
          <t>초크포인트</t>
        </is>
      </c>
      <c r="B21" s="5" t="inlineStr">
        <is>
          <t>구분</t>
        </is>
      </c>
      <c r="C21" s="5" t="inlineStr">
        <is>
          <t>위치</t>
        </is>
      </c>
      <c r="D21" s="5" t="inlineStr">
        <is>
          <t>규모</t>
        </is>
      </c>
      <c r="E21" s="5" t="inlineStr">
        <is>
          <t>한국 의존도</t>
        </is>
      </c>
    </row>
    <row r="22">
      <c r="A22" s="6" t="inlineStr">
        <is>
          <t>호르무즈 해협</t>
        </is>
      </c>
      <c r="B22" s="6" t="inlineStr">
        <is>
          <t>해협</t>
        </is>
      </c>
      <c r="C22" s="6" t="inlineStr">
        <is>
          <t>이란-오만 사이</t>
        </is>
      </c>
      <c r="D22" s="6" t="inlineStr">
        <is>
          <t>최협부 33km</t>
        </is>
      </c>
      <c r="E22" s="6" t="inlineStr">
        <is>
          <t>원유수입의 69.6~70%, 가스수입의 15%</t>
        </is>
      </c>
    </row>
    <row r="23">
      <c r="A23" s="6" t="inlineStr">
        <is>
          <t>말라카 해협</t>
        </is>
      </c>
      <c r="B23" s="6" t="inlineStr">
        <is>
          <t>해협</t>
        </is>
      </c>
      <c r="C23" s="6" t="inlineStr">
        <is>
          <t>말레이시아-인도네시아 사이</t>
        </is>
      </c>
      <c r="D23" s="6" t="inlineStr">
        <is>
          <t>최협부 2.8km</t>
        </is>
      </c>
      <c r="E23" s="6" t="inlineStr">
        <is>
          <t>수출입 물동량의 30%↑, 원유수입의 90%</t>
        </is>
      </c>
    </row>
    <row r="24">
      <c r="A24" s="6" t="inlineStr">
        <is>
          <t>수에즈 운하</t>
        </is>
      </c>
      <c r="B24" s="6" t="inlineStr">
        <is>
          <t>운하</t>
        </is>
      </c>
      <c r="C24" s="6" t="inlineStr">
        <is>
          <t>이집트 관통</t>
        </is>
      </c>
      <c r="D24" s="6" t="inlineStr">
        <is>
          <t>폭 205m</t>
        </is>
      </c>
      <c r="E24" s="6" t="inlineStr">
        <is>
          <t>대유럽 수출입 경로(정확한 비율 미확보)</t>
        </is>
      </c>
    </row>
    <row r="25">
      <c r="A25" s="6" t="inlineStr">
        <is>
          <t>바브엘만데브 해협</t>
        </is>
      </c>
      <c r="B25" s="6" t="inlineStr">
        <is>
          <t>해협</t>
        </is>
      </c>
      <c r="C25" s="6" t="inlineStr">
        <is>
          <t>예멘-지부티/에리트레아 사이</t>
        </is>
      </c>
      <c r="D25" s="6" t="inlineStr">
        <is>
          <t>26~32km</t>
        </is>
      </c>
      <c r="E25" s="6" t="inlineStr">
        <is>
          <t>수에즈 진입 관문(수에즈와 동일 취급)</t>
        </is>
      </c>
    </row>
    <row r="26">
      <c r="A26" s="6" t="inlineStr">
        <is>
          <t>파나마 운하</t>
        </is>
      </c>
      <c r="B26" s="6" t="inlineStr">
        <is>
          <t>운하</t>
        </is>
      </c>
      <c r="C26" s="6" t="inlineStr">
        <is>
          <t>중미 관통</t>
        </is>
      </c>
      <c r="D26" s="6" t="inlineStr">
        <is>
          <t>길이 82km</t>
        </is>
      </c>
      <c r="E26" s="6" t="inlineStr">
        <is>
          <t>이용국 순위 6~8위, 미국 걸프만 발 원유·LNG 수입 의존</t>
        </is>
      </c>
    </row>
    <row r="27"/>
    <row r="28">
      <c r="A28" s="4" t="inlineStr">
        <is>
          <t>주: 말라카 해협의 원유 의존도(90%)가 호르무즈(70%)보다 높음 — 중동산 원유가 호르무즈 통과 후 반드시 말라카도 통과해야 하기 때문</t>
        </is>
      </c>
    </row>
  </sheetData>
  <mergeCells count="3">
    <mergeCell ref="A28:E2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14.1" customWidth="1" min="1" max="1"/>
    <col width="13" customWidth="1" min="2" max="2"/>
    <col width="12.1" customWidth="1" min="3" max="3"/>
    <col width="12.1" customWidth="1" min="4" max="4"/>
    <col width="52" customWidth="1" min="5" max="5"/>
  </cols>
  <sheetData>
    <row r="1">
      <c r="A1" s="7" t="inlineStr">
        <is>
          <t>사건별 KCCI 주간 운임 반응 — 실측 데이터</t>
        </is>
      </c>
    </row>
    <row r="2">
      <c r="A2" s="8" t="inlineStr">
        <is>
          <t>파란 글씨=KCCI 원자료 입력값, 검은 글씨=수식. 노란 행=평시 기준 구간(사건 전 12주). 평시 운임비=사건 전 12주 조사치 평균. 사건 전 12주·호르무즈 05-11~05-26은 claude 폴더 KCCI 원자료에서 보충</t>
        </is>
      </c>
    </row>
    <row r="4">
      <c r="A4" s="9" t="inlineStr">
        <is>
          <t>① 호르무즈 봉쇄 — KMEI(중동향), 사건일 2026-03-01</t>
        </is>
      </c>
      <c r="B4" s="10" t="n"/>
      <c r="C4" s="10" t="n"/>
      <c r="D4" s="10" t="n"/>
      <c r="E4" s="10" t="n"/>
    </row>
    <row r="5">
      <c r="A5" s="11" t="inlineStr">
        <is>
          <t>사건일</t>
        </is>
      </c>
      <c r="B5" s="12" t="n">
        <v>46082</v>
      </c>
    </row>
    <row r="6">
      <c r="A6" s="11" t="inlineStr">
        <is>
          <t>평시 운임비</t>
        </is>
      </c>
      <c r="B6" s="13">
        <f>AVERAGE(B9:B18)</f>
        <v/>
      </c>
      <c r="C6" s="8" t="inlineStr">
        <is>
          <t>← 사건 전 12주 조사치 평균</t>
        </is>
      </c>
    </row>
    <row r="8">
      <c r="A8" s="14" t="inlineStr">
        <is>
          <t>조사일</t>
        </is>
      </c>
      <c r="B8" s="14" t="inlineStr">
        <is>
          <t>KMEI (중동향)</t>
        </is>
      </c>
      <c r="C8" s="14" t="inlineStr">
        <is>
          <t>사건후 일수</t>
        </is>
      </c>
      <c r="D8" s="14" t="inlineStr">
        <is>
          <t>전주비(%)</t>
        </is>
      </c>
      <c r="E8" s="14" t="inlineStr">
        <is>
          <t>비고</t>
        </is>
      </c>
    </row>
    <row r="9">
      <c r="A9" s="15" t="n">
        <v>45999</v>
      </c>
      <c r="B9" s="16" t="n">
        <v>2156</v>
      </c>
      <c r="C9" s="17">
        <f>A9-$B$5</f>
        <v/>
      </c>
      <c r="D9" s="18" t="inlineStr">
        <is>
          <t>-</t>
        </is>
      </c>
      <c r="E9" s="19" t="inlineStr">
        <is>
          <t>KCCI 원자료 보충(평시 기준 구간)</t>
        </is>
      </c>
    </row>
    <row r="10">
      <c r="A10" s="15" t="n">
        <v>46006</v>
      </c>
      <c r="B10" s="16" t="n">
        <v>2221</v>
      </c>
      <c r="C10" s="17">
        <f>A10-$B$5</f>
        <v/>
      </c>
      <c r="D10" s="18">
        <f>(B10-B9)/B9</f>
        <v/>
      </c>
      <c r="E10" s="19" t="inlineStr">
        <is>
          <t>KCCI 원자료 보충(평시 기준 구간)</t>
        </is>
      </c>
    </row>
    <row r="11">
      <c r="A11" s="15" t="n">
        <v>46013</v>
      </c>
      <c r="B11" s="16" t="n">
        <v>2306</v>
      </c>
      <c r="C11" s="17">
        <f>A11-$B$5</f>
        <v/>
      </c>
      <c r="D11" s="18">
        <f>(B11-B10)/B10</f>
        <v/>
      </c>
      <c r="E11" s="19" t="inlineStr">
        <is>
          <t>KCCI 원자료 보충(평시 기준 구간)</t>
        </is>
      </c>
    </row>
    <row r="12">
      <c r="A12" s="15" t="n">
        <v>46020</v>
      </c>
      <c r="B12" s="16" t="n">
        <v>2361</v>
      </c>
      <c r="C12" s="17">
        <f>A12-$B$5</f>
        <v/>
      </c>
      <c r="D12" s="18">
        <f>(B12-B11)/B11</f>
        <v/>
      </c>
      <c r="E12" s="19" t="inlineStr">
        <is>
          <t>KCCI 원자료 보충(평시 기준 구간)</t>
        </is>
      </c>
    </row>
    <row r="13">
      <c r="A13" s="15" t="n">
        <v>46034</v>
      </c>
      <c r="B13" s="16" t="n">
        <v>2486</v>
      </c>
      <c r="C13" s="17">
        <f>A13-$B$5</f>
        <v/>
      </c>
      <c r="D13" s="18">
        <f>(B13-B12)/B12</f>
        <v/>
      </c>
      <c r="E13" s="19" t="inlineStr">
        <is>
          <t>KCCI 원자료 보충(평시 기준 구간)</t>
        </is>
      </c>
    </row>
    <row r="14">
      <c r="A14" s="15" t="n">
        <v>46041</v>
      </c>
      <c r="B14" s="16" t="n">
        <v>2435</v>
      </c>
      <c r="C14" s="17">
        <f>A14-$B$5</f>
        <v/>
      </c>
      <c r="D14" s="18">
        <f>(B14-B13)/B13</f>
        <v/>
      </c>
      <c r="E14" s="19" t="inlineStr">
        <is>
          <t>KCCI 원자료 보충(평시 기준 구간)</t>
        </is>
      </c>
    </row>
    <row r="15">
      <c r="A15" s="15" t="n">
        <v>46048</v>
      </c>
      <c r="B15" s="16" t="n">
        <v>2384</v>
      </c>
      <c r="C15" s="17">
        <f>A15-$B$5</f>
        <v/>
      </c>
      <c r="D15" s="18">
        <f>(B15-B14)/B14</f>
        <v/>
      </c>
      <c r="E15" s="19" t="inlineStr">
        <is>
          <t>KCCI 원자료 보충(평시 기준 구간)</t>
        </is>
      </c>
    </row>
    <row r="16">
      <c r="A16" s="15" t="n">
        <v>46055</v>
      </c>
      <c r="B16" s="16" t="n">
        <v>2210</v>
      </c>
      <c r="C16" s="17">
        <f>A16-$B$5</f>
        <v/>
      </c>
      <c r="D16" s="18">
        <f>(B16-B15)/B15</f>
        <v/>
      </c>
      <c r="E16" s="19" t="inlineStr">
        <is>
          <t>KCCI 원자료 보충(평시 기준 구간)</t>
        </is>
      </c>
    </row>
    <row r="17">
      <c r="A17" s="15" t="n">
        <v>46062</v>
      </c>
      <c r="B17" s="16" t="n">
        <v>2046</v>
      </c>
      <c r="C17" s="17">
        <f>A17-$B$5</f>
        <v/>
      </c>
      <c r="D17" s="18">
        <f>(B17-B16)/B16</f>
        <v/>
      </c>
      <c r="E17" s="19" t="inlineStr"/>
    </row>
    <row r="18">
      <c r="A18" s="15" t="n">
        <v>46076</v>
      </c>
      <c r="B18" s="16" t="n">
        <v>1976</v>
      </c>
      <c r="C18" s="17">
        <f>A18-$B$5</f>
        <v/>
      </c>
      <c r="D18" s="18">
        <f>(B18-B17)/B17</f>
        <v/>
      </c>
      <c r="E18" s="19" t="inlineStr"/>
    </row>
    <row r="19">
      <c r="A19" s="20" t="n">
        <v>46084</v>
      </c>
      <c r="B19" s="21" t="n">
        <v>2062</v>
      </c>
      <c r="C19" s="22">
        <f>A19-$B$5</f>
        <v/>
      </c>
      <c r="D19" s="23">
        <f>(B19-B18)/B18</f>
        <v/>
      </c>
      <c r="E19" s="24" t="inlineStr"/>
    </row>
    <row r="20">
      <c r="A20" s="20" t="n">
        <v>46090</v>
      </c>
      <c r="B20" s="21" t="n">
        <v>3622</v>
      </c>
      <c r="C20" s="22">
        <f>A20-$B$5</f>
        <v/>
      </c>
      <c r="D20" s="23">
        <f>(B20-B19)/B19</f>
        <v/>
      </c>
      <c r="E20" s="24" t="inlineStr">
        <is>
          <t>★ 전주비 +75.7%, 급등 시작</t>
        </is>
      </c>
    </row>
    <row r="21">
      <c r="A21" s="20" t="n">
        <v>46097</v>
      </c>
      <c r="B21" s="21" t="n">
        <v>4401</v>
      </c>
      <c r="C21" s="22">
        <f>A21-$B$5</f>
        <v/>
      </c>
      <c r="D21" s="23">
        <f>(B21-B20)/B20</f>
        <v/>
      </c>
      <c r="E21" s="24" t="inlineStr"/>
    </row>
    <row r="22">
      <c r="A22" s="20" t="n">
        <v>46104</v>
      </c>
      <c r="B22" s="21" t="n">
        <v>4876</v>
      </c>
      <c r="C22" s="22">
        <f>A22-$B$5</f>
        <v/>
      </c>
      <c r="D22" s="23">
        <f>(B22-B21)/B21</f>
        <v/>
      </c>
      <c r="E22" s="24" t="inlineStr"/>
    </row>
    <row r="23">
      <c r="A23" s="20" t="n">
        <v>46111</v>
      </c>
      <c r="B23" s="21" t="n">
        <v>5394</v>
      </c>
      <c r="C23" s="22">
        <f>A23-$B$5</f>
        <v/>
      </c>
      <c r="D23" s="23">
        <f>(B23-B22)/B22</f>
        <v/>
      </c>
      <c r="E23" s="24" t="inlineStr"/>
    </row>
    <row r="24">
      <c r="A24" s="20" t="n">
        <v>46118</v>
      </c>
      <c r="B24" s="21" t="n">
        <v>6211</v>
      </c>
      <c r="C24" s="22">
        <f>A24-$B$5</f>
        <v/>
      </c>
      <c r="D24" s="23">
        <f>(B24-B23)/B23</f>
        <v/>
      </c>
      <c r="E24" s="24" t="inlineStr"/>
    </row>
    <row r="25">
      <c r="A25" s="20" t="n">
        <v>46125</v>
      </c>
      <c r="B25" s="21" t="n">
        <v>6249</v>
      </c>
      <c r="C25" s="22">
        <f>A25-$B$5</f>
        <v/>
      </c>
      <c r="D25" s="23">
        <f>(B25-B24)/B24</f>
        <v/>
      </c>
      <c r="E25" s="24" t="inlineStr">
        <is>
          <t>◆ 정점 부근</t>
        </is>
      </c>
    </row>
    <row r="26">
      <c r="A26" s="20" t="n">
        <v>46132</v>
      </c>
      <c r="B26" s="21" t="n">
        <v>6085</v>
      </c>
      <c r="C26" s="22">
        <f>A26-$B$5</f>
        <v/>
      </c>
      <c r="D26" s="23">
        <f>(B26-B25)/B25</f>
        <v/>
      </c>
      <c r="E26" s="24" t="inlineStr"/>
    </row>
    <row r="27">
      <c r="A27" s="20" t="n">
        <v>46139</v>
      </c>
      <c r="B27" s="21" t="n">
        <v>6147</v>
      </c>
      <c r="C27" s="22">
        <f>A27-$B$5</f>
        <v/>
      </c>
      <c r="D27" s="23">
        <f>(B27-B26)/B26</f>
        <v/>
      </c>
      <c r="E27" s="24" t="inlineStr"/>
    </row>
    <row r="28">
      <c r="A28" s="20" t="n">
        <v>46153</v>
      </c>
      <c r="B28" s="21" t="n">
        <v>5939</v>
      </c>
      <c r="C28" s="22">
        <f>A28-$B$5</f>
        <v/>
      </c>
      <c r="D28" s="23">
        <f>(B28-B27)/B27</f>
        <v/>
      </c>
      <c r="E28" s="24" t="inlineStr">
        <is>
          <t>KCCI 원자료 보충 / 05-04 조사 없음(연휴) → 2주 전 대비</t>
        </is>
      </c>
    </row>
    <row r="29">
      <c r="A29" s="20" t="n">
        <v>46160</v>
      </c>
      <c r="B29" s="21" t="n">
        <v>5934</v>
      </c>
      <c r="C29" s="22">
        <f>A29-$B$5</f>
        <v/>
      </c>
      <c r="D29" s="23">
        <f>(B29-B28)/B28</f>
        <v/>
      </c>
      <c r="E29" s="24" t="inlineStr">
        <is>
          <t>KCCI 원자료 보충</t>
        </is>
      </c>
    </row>
    <row r="30">
      <c r="A30" s="20" t="n">
        <v>46168</v>
      </c>
      <c r="B30" s="21" t="n">
        <v>5991</v>
      </c>
      <c r="C30" s="22">
        <f>A30-$B$5</f>
        <v/>
      </c>
      <c r="D30" s="23">
        <f>(B30-B29)/B29</f>
        <v/>
      </c>
      <c r="E30" s="24" t="inlineStr">
        <is>
          <t>KCCI 원자료 보충 / 화요일 조사(05-25 대체공휴일), 사건후 약 한 분기</t>
        </is>
      </c>
    </row>
    <row r="33">
      <c r="A33" s="9" t="inlineStr">
        <is>
          <t>② 홍해 사태 — KNEI(유럽향), 사건일 2023-11-19</t>
        </is>
      </c>
      <c r="B33" s="10" t="n"/>
      <c r="C33" s="10" t="n"/>
      <c r="D33" s="10" t="n"/>
      <c r="E33" s="10" t="n"/>
    </row>
    <row r="34">
      <c r="A34" s="11" t="inlineStr">
        <is>
          <t>사건일</t>
        </is>
      </c>
      <c r="B34" s="12" t="n">
        <v>45249</v>
      </c>
    </row>
    <row r="35">
      <c r="A35" s="11" t="inlineStr">
        <is>
          <t>평시 운임비</t>
        </is>
      </c>
      <c r="B35" s="13">
        <f>AVERAGE(B38:B48)</f>
        <v/>
      </c>
      <c r="C35" s="8" t="inlineStr">
        <is>
          <t>← 사건 전 12주 조사치 평균</t>
        </is>
      </c>
    </row>
    <row r="37">
      <c r="A37" s="14" t="inlineStr">
        <is>
          <t>조사일</t>
        </is>
      </c>
      <c r="B37" s="14" t="inlineStr">
        <is>
          <t>KNEI (유럽향)</t>
        </is>
      </c>
      <c r="C37" s="14" t="inlineStr">
        <is>
          <t>사건후 일수</t>
        </is>
      </c>
      <c r="D37" s="14" t="inlineStr">
        <is>
          <t>전주비(%)</t>
        </is>
      </c>
      <c r="E37" s="14" t="inlineStr">
        <is>
          <t>비고</t>
        </is>
      </c>
    </row>
    <row r="38">
      <c r="A38" s="15" t="n">
        <v>45166</v>
      </c>
      <c r="B38" s="16" t="n">
        <v>1405</v>
      </c>
      <c r="C38" s="17">
        <f>A38-$B$34</f>
        <v/>
      </c>
      <c r="D38" s="18" t="inlineStr">
        <is>
          <t>-</t>
        </is>
      </c>
      <c r="E38" s="19" t="inlineStr">
        <is>
          <t>KCCI 원자료 보충(평시 기준 구간)</t>
        </is>
      </c>
    </row>
    <row r="39">
      <c r="A39" s="15" t="n">
        <v>45173</v>
      </c>
      <c r="B39" s="16" t="n">
        <v>1359</v>
      </c>
      <c r="C39" s="17">
        <f>A39-$B$34</f>
        <v/>
      </c>
      <c r="D39" s="18">
        <f>(B39-B38)/B38</f>
        <v/>
      </c>
      <c r="E39" s="19" t="inlineStr">
        <is>
          <t>KCCI 원자료 보충(평시 기준 구간)</t>
        </is>
      </c>
    </row>
    <row r="40">
      <c r="A40" s="15" t="n">
        <v>45180</v>
      </c>
      <c r="B40" s="16" t="n">
        <v>1303</v>
      </c>
      <c r="C40" s="17">
        <f>A40-$B$34</f>
        <v/>
      </c>
      <c r="D40" s="18">
        <f>(B40-B39)/B39</f>
        <v/>
      </c>
      <c r="E40" s="19" t="inlineStr">
        <is>
          <t>KCCI 원자료 보충(평시 기준 구간)</t>
        </is>
      </c>
    </row>
    <row r="41">
      <c r="A41" s="15" t="n">
        <v>45187</v>
      </c>
      <c r="B41" s="16" t="n">
        <v>1224</v>
      </c>
      <c r="C41" s="17">
        <f>A41-$B$34</f>
        <v/>
      </c>
      <c r="D41" s="18">
        <f>(B41-B40)/B40</f>
        <v/>
      </c>
      <c r="E41" s="19" t="inlineStr">
        <is>
          <t>KCCI 원자료 보충(평시 기준 구간)</t>
        </is>
      </c>
    </row>
    <row r="42">
      <c r="A42" s="15" t="n">
        <v>45194</v>
      </c>
      <c r="B42" s="16" t="n">
        <v>1183</v>
      </c>
      <c r="C42" s="17">
        <f>A42-$B$34</f>
        <v/>
      </c>
      <c r="D42" s="18">
        <f>(B42-B41)/B41</f>
        <v/>
      </c>
      <c r="E42" s="19" t="inlineStr">
        <is>
          <t>KCCI 원자료 보충(평시 기준 구간)</t>
        </is>
      </c>
    </row>
    <row r="43">
      <c r="A43" s="15" t="n">
        <v>45209</v>
      </c>
      <c r="B43" s="16" t="n">
        <v>1101</v>
      </c>
      <c r="C43" s="17">
        <f>A43-$B$34</f>
        <v/>
      </c>
      <c r="D43" s="18">
        <f>(B43-B42)/B42</f>
        <v/>
      </c>
      <c r="E43" s="19" t="inlineStr">
        <is>
          <t>KCCI 원자료 보충(평시 기준 구간)</t>
        </is>
      </c>
    </row>
    <row r="44">
      <c r="A44" s="15" t="n">
        <v>45215</v>
      </c>
      <c r="B44" s="16" t="n">
        <v>1070</v>
      </c>
      <c r="C44" s="17">
        <f>A44-$B$34</f>
        <v/>
      </c>
      <c r="D44" s="18">
        <f>(B44-B43)/B43</f>
        <v/>
      </c>
      <c r="E44" s="19" t="inlineStr">
        <is>
          <t>KCCI 원자료 보충(평시 기준 구간)</t>
        </is>
      </c>
    </row>
    <row r="45">
      <c r="A45" s="15" t="n">
        <v>45222</v>
      </c>
      <c r="B45" s="16" t="n">
        <v>1063</v>
      </c>
      <c r="C45" s="17">
        <f>A45-$B$34</f>
        <v/>
      </c>
      <c r="D45" s="18">
        <f>(B45-B44)/B44</f>
        <v/>
      </c>
      <c r="E45" s="19" t="inlineStr">
        <is>
          <t>KCCI 원자료 보충(평시 기준 구간)</t>
        </is>
      </c>
    </row>
    <row r="46">
      <c r="A46" s="15" t="n">
        <v>45229</v>
      </c>
      <c r="B46" s="16" t="n">
        <v>1077</v>
      </c>
      <c r="C46" s="17">
        <f>A46-$B$34</f>
        <v/>
      </c>
      <c r="D46" s="18">
        <f>(B46-B45)/B45</f>
        <v/>
      </c>
      <c r="E46" s="19" t="inlineStr"/>
    </row>
    <row r="47">
      <c r="A47" s="15" t="n">
        <v>45236</v>
      </c>
      <c r="B47" s="16" t="n">
        <v>1202</v>
      </c>
      <c r="C47" s="17">
        <f>A47-$B$34</f>
        <v/>
      </c>
      <c r="D47" s="18">
        <f>(B47-B46)/B46</f>
        <v/>
      </c>
      <c r="E47" s="19" t="inlineStr"/>
    </row>
    <row r="48">
      <c r="A48" s="15" t="n">
        <v>45243</v>
      </c>
      <c r="B48" s="16" t="n">
        <v>1178</v>
      </c>
      <c r="C48" s="17">
        <f>A48-$B$34</f>
        <v/>
      </c>
      <c r="D48" s="18">
        <f>(B48-B47)/B47</f>
        <v/>
      </c>
      <c r="E48" s="19" t="inlineStr"/>
    </row>
    <row r="49">
      <c r="A49" s="20" t="n">
        <v>45250</v>
      </c>
      <c r="B49" s="21" t="n">
        <v>1199</v>
      </c>
      <c r="C49" s="22">
        <f>A49-$B$34</f>
        <v/>
      </c>
      <c r="D49" s="23">
        <f>(B49-B48)/B48</f>
        <v/>
      </c>
      <c r="E49" s="24" t="inlineStr"/>
    </row>
    <row r="50">
      <c r="A50" s="20" t="n">
        <v>45257</v>
      </c>
      <c r="B50" s="21" t="n">
        <v>1208</v>
      </c>
      <c r="C50" s="22">
        <f>A50-$B$34</f>
        <v/>
      </c>
      <c r="D50" s="23">
        <f>(B50-B49)/B49</f>
        <v/>
      </c>
      <c r="E50" s="24" t="inlineStr"/>
    </row>
    <row r="51">
      <c r="A51" s="20" t="n">
        <v>45264</v>
      </c>
      <c r="B51" s="21" t="n">
        <v>1305</v>
      </c>
      <c r="C51" s="22">
        <f>A51-$B$34</f>
        <v/>
      </c>
      <c r="D51" s="23">
        <f>(B51-B50)/B50</f>
        <v/>
      </c>
      <c r="E51" s="24" t="inlineStr"/>
    </row>
    <row r="52">
      <c r="A52" s="20" t="n">
        <v>45271</v>
      </c>
      <c r="B52" s="21" t="n">
        <v>1394</v>
      </c>
      <c r="C52" s="22">
        <f>A52-$B$34</f>
        <v/>
      </c>
      <c r="D52" s="23">
        <f>(B52-B51)/B51</f>
        <v/>
      </c>
      <c r="E52" s="24" t="inlineStr"/>
    </row>
    <row r="53">
      <c r="A53" s="20" t="n">
        <v>45278</v>
      </c>
      <c r="B53" s="21" t="n">
        <v>1606</v>
      </c>
      <c r="C53" s="22">
        <f>A53-$B$34</f>
        <v/>
      </c>
      <c r="D53" s="23">
        <f>(B53-B52)/B52</f>
        <v/>
      </c>
      <c r="E53" s="24" t="inlineStr">
        <is>
          <t>★ 전주비 +15.2%, 급등 시작</t>
        </is>
      </c>
    </row>
    <row r="54">
      <c r="A54" s="20" t="n">
        <v>45286</v>
      </c>
      <c r="B54" s="21" t="n">
        <v>1929</v>
      </c>
      <c r="C54" s="22">
        <f>A54-$B$34</f>
        <v/>
      </c>
      <c r="D54" s="23">
        <f>(B54-B53)/B53</f>
        <v/>
      </c>
      <c r="E54" s="24" t="inlineStr"/>
    </row>
    <row r="55">
      <c r="A55" s="20" t="n">
        <v>45293</v>
      </c>
      <c r="B55" s="21" t="n">
        <v>2495</v>
      </c>
      <c r="C55" s="22">
        <f>A55-$B$34</f>
        <v/>
      </c>
      <c r="D55" s="23">
        <f>(B55-B54)/B54</f>
        <v/>
      </c>
      <c r="E55" s="24" t="inlineStr"/>
    </row>
    <row r="56">
      <c r="A56" s="20" t="n">
        <v>45299</v>
      </c>
      <c r="B56" s="21" t="n">
        <v>3732</v>
      </c>
      <c r="C56" s="22">
        <f>A56-$B$34</f>
        <v/>
      </c>
      <c r="D56" s="23">
        <f>(B56-B55)/B55</f>
        <v/>
      </c>
      <c r="E56" s="24" t="inlineStr"/>
    </row>
    <row r="57">
      <c r="A57" s="20" t="n">
        <v>45306</v>
      </c>
      <c r="B57" s="21" t="n">
        <v>4495</v>
      </c>
      <c r="C57" s="22">
        <f>A57-$B$34</f>
        <v/>
      </c>
      <c r="D57" s="23">
        <f>(B57-B56)/B56</f>
        <v/>
      </c>
      <c r="E57" s="24" t="inlineStr"/>
    </row>
    <row r="58">
      <c r="A58" s="20" t="n">
        <v>45313</v>
      </c>
      <c r="B58" s="21" t="n">
        <v>5160</v>
      </c>
      <c r="C58" s="22">
        <f>A58-$B$34</f>
        <v/>
      </c>
      <c r="D58" s="23">
        <f>(B58-B57)/B57</f>
        <v/>
      </c>
      <c r="E58" s="24" t="inlineStr"/>
    </row>
    <row r="59">
      <c r="A59" s="20" t="n">
        <v>45320</v>
      </c>
      <c r="B59" s="21" t="n">
        <v>5233</v>
      </c>
      <c r="C59" s="22">
        <f>A59-$B$34</f>
        <v/>
      </c>
      <c r="D59" s="23">
        <f>(B59-B58)/B58</f>
        <v/>
      </c>
      <c r="E59" s="24" t="inlineStr">
        <is>
          <t>◆ 정점 부근</t>
        </is>
      </c>
    </row>
    <row r="60">
      <c r="A60" s="20" t="n">
        <v>45327</v>
      </c>
      <c r="B60" s="21" t="n">
        <v>4877</v>
      </c>
      <c r="C60" s="22">
        <f>A60-$B$34</f>
        <v/>
      </c>
      <c r="D60" s="23">
        <f>(B60-B59)/B59</f>
        <v/>
      </c>
      <c r="E60" s="24" t="inlineStr"/>
    </row>
    <row r="61">
      <c r="A61" s="20" t="n">
        <v>45335</v>
      </c>
      <c r="B61" s="21" t="n">
        <v>4652</v>
      </c>
      <c r="C61" s="22">
        <f>A61-$B$34</f>
        <v/>
      </c>
      <c r="D61" s="23">
        <f>(B61-B60)/B60</f>
        <v/>
      </c>
      <c r="E61" s="24" t="inlineStr"/>
    </row>
    <row r="62">
      <c r="A62" s="20" t="n">
        <v>45341</v>
      </c>
      <c r="B62" s="21" t="n">
        <v>4519</v>
      </c>
      <c r="C62" s="22">
        <f>A62-$B$34</f>
        <v/>
      </c>
      <c r="D62" s="23">
        <f>(B62-B61)/B61</f>
        <v/>
      </c>
      <c r="E62" s="2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2026-09-29T18:54:01Z</dcterms:created>
  <dcterms:modified xsi:type="dcterms:W3CDTF">2026-09-29T18:54:01Z</dcterms:modified>
</cp:coreProperties>
</file>